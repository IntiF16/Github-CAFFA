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166925"/>
  <xr:revisionPtr revIDLastSave="0" documentId="8_{590AAB32-CD49-40B7-8537-291817228816}" xr6:coauthVersionLast="47" xr6:coauthVersionMax="47" xr10:uidLastSave="{00000000-0000-0000-0000-000000000000}"/>
  <bookViews>
    <workbookView xWindow="0" yWindow="0" windowWidth="28560" windowHeight="13905" firstSheet="3" activeTab="3" xr2:uid="{A22C7B05-6B0A-4116-A99A-60EDDEA67682}"/>
  </bookViews>
  <sheets>
    <sheet name="Partidos" sheetId="1" r:id="rId1"/>
    <sheet name="Top" sheetId="3" r:id="rId2"/>
    <sheet name="Jose" sheetId="13" r:id="rId3"/>
    <sheet name="Inti" sheetId="6" r:id="rId4"/>
    <sheet name="Vale" sheetId="7" r:id="rId5"/>
    <sheet name="Mariano" sheetId="8" r:id="rId6"/>
    <sheet name="Jorge" sheetId="9" r:id="rId7"/>
    <sheet name="Joaquin" sheetId="10" r:id="rId8"/>
    <sheet name="Elizabeth" sheetId="11" r:id="rId9"/>
    <sheet name="Pablo" sheetId="12" r:id="rId10"/>
    <sheet name="Juan" sheetId="2" r:id="rId11"/>
    <sheet name="Pedro" sheetId="4" r:id="rId12"/>
    <sheet name="Pepe" sheetId="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6" l="1"/>
  <c r="B12" i="3" a="1"/>
  <c r="B12" i="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E2" i="13" s="1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E2" i="12" s="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E2" i="11" s="1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E2" i="10" s="1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E2" i="9" s="1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E2" i="8" s="1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E2" i="7" s="1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2" i="6"/>
  <c r="B4" i="3" a="1"/>
  <c r="B4" i="3"/>
  <c r="B5" i="3" a="1"/>
  <c r="B5" i="3"/>
  <c r="B6" i="3" a="1"/>
  <c r="B6" i="3"/>
  <c r="B7" i="3" a="1"/>
  <c r="B7" i="3"/>
  <c r="B8" i="3" a="1"/>
  <c r="B8" i="3"/>
  <c r="B9" i="3" a="1"/>
  <c r="B9" i="3"/>
  <c r="B10" i="3" a="1"/>
  <c r="B10" i="3"/>
  <c r="B11" i="3" a="1"/>
  <c r="B11" i="3"/>
  <c r="B2" i="3" a="1"/>
  <c r="B2" i="3"/>
  <c r="E2" i="2"/>
  <c r="E2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B3" i="3" a="1"/>
  <c r="B3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" i="2"/>
  <c r="D3" i="2"/>
  <c r="D4" i="2"/>
  <c r="E2" i="3" l="1" a="1"/>
  <c r="E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<sst xmlns="http://schemas.openxmlformats.org/spreadsheetml/2006/main" count="69" uniqueCount="23">
  <si>
    <t>ID Partido</t>
  </si>
  <si>
    <t>Goles Eq1</t>
  </si>
  <si>
    <t>GolesEq2</t>
  </si>
  <si>
    <t>Jugadores</t>
  </si>
  <si>
    <t>Puntos</t>
  </si>
  <si>
    <t>Puesto</t>
  </si>
  <si>
    <t>Lider</t>
  </si>
  <si>
    <t>Puntaje</t>
  </si>
  <si>
    <t>Juan</t>
  </si>
  <si>
    <t>Pedro</t>
  </si>
  <si>
    <t>Inti</t>
  </si>
  <si>
    <t>Pepe</t>
  </si>
  <si>
    <t>Elizabeth</t>
  </si>
  <si>
    <t>Jose</t>
  </si>
  <si>
    <t>Pablo</t>
  </si>
  <si>
    <t>joaquin</t>
  </si>
  <si>
    <t>Vale</t>
  </si>
  <si>
    <t>Mariano</t>
  </si>
  <si>
    <t>Jorge</t>
  </si>
  <si>
    <t>predict Eq1</t>
  </si>
  <si>
    <t>PredictEq2</t>
  </si>
  <si>
    <t>puntos</t>
  </si>
  <si>
    <t>Puntos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</si>
</sst>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C37"/>
  <sheetViews>
    <sheetView workbookViewId="0">
      <selection activeCell="C11" sqref="C11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3</v>
      </c>
    </row>
    <row r="3" spans="1:3">
      <c r="A3">
        <v>2</v>
      </c>
      <c r="B3">
        <v>3</v>
      </c>
      <c r="C3">
        <v>3</v>
      </c>
    </row>
    <row r="4" spans="1:3">
      <c r="A4">
        <v>3</v>
      </c>
      <c r="B4">
        <v>2</v>
      </c>
      <c r="C4">
        <v>2</v>
      </c>
    </row>
    <row r="5" spans="1:3">
      <c r="A5">
        <v>4</v>
      </c>
      <c r="B5">
        <v>4</v>
      </c>
      <c r="C5">
        <v>1</v>
      </c>
    </row>
    <row r="6" spans="1:3">
      <c r="A6">
        <v>5</v>
      </c>
      <c r="B6">
        <v>5</v>
      </c>
      <c r="C6">
        <v>2</v>
      </c>
    </row>
    <row r="7" spans="1:3">
      <c r="A7">
        <v>6</v>
      </c>
      <c r="B7">
        <v>6</v>
      </c>
      <c r="C7">
        <v>3</v>
      </c>
    </row>
    <row r="8" spans="1:3">
      <c r="A8">
        <v>7</v>
      </c>
      <c r="B8">
        <v>3</v>
      </c>
      <c r="C8">
        <v>4</v>
      </c>
    </row>
    <row r="9" spans="1:3">
      <c r="A9">
        <v>8</v>
      </c>
      <c r="B9">
        <v>2</v>
      </c>
      <c r="C9">
        <v>5</v>
      </c>
    </row>
    <row r="10" spans="1:3">
      <c r="A10">
        <v>9</v>
      </c>
      <c r="B10">
        <v>1</v>
      </c>
      <c r="C10">
        <v>78</v>
      </c>
    </row>
    <row r="11" spans="1:3">
      <c r="A11">
        <v>10</v>
      </c>
      <c r="B11">
        <v>2</v>
      </c>
      <c r="C11">
        <v>99</v>
      </c>
    </row>
    <row r="12" spans="1:3">
      <c r="A12">
        <v>11</v>
      </c>
      <c r="B12">
        <v>3</v>
      </c>
      <c r="C12">
        <v>0</v>
      </c>
    </row>
    <row r="13" spans="1:3">
      <c r="A13">
        <v>12</v>
      </c>
      <c r="B13">
        <v>4</v>
      </c>
      <c r="C13">
        <v>0</v>
      </c>
    </row>
    <row r="14" spans="1:3">
      <c r="A14">
        <v>13</v>
      </c>
      <c r="B14">
        <v>1</v>
      </c>
      <c r="C14">
        <v>8</v>
      </c>
    </row>
    <row r="15" spans="1:3">
      <c r="A15">
        <v>14</v>
      </c>
      <c r="B15">
        <v>2</v>
      </c>
      <c r="C15">
        <v>4</v>
      </c>
    </row>
    <row r="16" spans="1:3">
      <c r="A16">
        <v>15</v>
      </c>
      <c r="B16">
        <v>2</v>
      </c>
      <c r="C16">
        <v>2</v>
      </c>
    </row>
    <row r="17" spans="1:3">
      <c r="A17">
        <v>16</v>
      </c>
      <c r="B17">
        <v>1</v>
      </c>
      <c r="C17">
        <v>1</v>
      </c>
    </row>
    <row r="18" spans="1:3">
      <c r="A18">
        <v>17</v>
      </c>
      <c r="B18">
        <v>0</v>
      </c>
      <c r="C18">
        <v>1</v>
      </c>
    </row>
    <row r="19" spans="1:3">
      <c r="A19">
        <v>18</v>
      </c>
      <c r="B19">
        <v>1</v>
      </c>
      <c r="C19">
        <v>1</v>
      </c>
    </row>
    <row r="20" spans="1:3">
      <c r="A20">
        <v>19</v>
      </c>
      <c r="B20">
        <v>2</v>
      </c>
      <c r="C20">
        <v>1</v>
      </c>
    </row>
    <row r="21" spans="1:3">
      <c r="A21">
        <v>20</v>
      </c>
    </row>
    <row r="22" spans="1:3">
      <c r="A22">
        <v>21</v>
      </c>
    </row>
    <row r="23" spans="1:3">
      <c r="A23">
        <v>22</v>
      </c>
    </row>
    <row r="24" spans="1:3">
      <c r="A24">
        <v>23</v>
      </c>
    </row>
    <row r="25" spans="1:3">
      <c r="A25">
        <v>24</v>
      </c>
    </row>
    <row r="26" spans="1:3">
      <c r="A26">
        <v>25</v>
      </c>
    </row>
    <row r="27" spans="1:3">
      <c r="A27">
        <v>26</v>
      </c>
    </row>
    <row r="28" spans="1:3">
      <c r="A28">
        <v>27</v>
      </c>
    </row>
    <row r="29" spans="1:3">
      <c r="A29">
        <v>28</v>
      </c>
    </row>
    <row r="30" spans="1:3">
      <c r="A30">
        <v>29</v>
      </c>
    </row>
    <row r="31" spans="1:3">
      <c r="A31">
        <v>30</v>
      </c>
    </row>
    <row r="32" spans="1:3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D46B-078D-4411-8ABB-D33A2676A078}">
  <dimension ref="A1:F14"/>
  <sheetViews>
    <sheetView workbookViewId="0">
      <selection activeCell="D15" sqref="D15"/>
    </sheetView>
  </sheetViews>
  <sheetFormatPr defaultRowHeight="15"/>
  <cols>
    <col min="1" max="1" width="9.5703125" bestFit="1" customWidth="1"/>
    <col min="2" max="2" width="36.5703125" bestFit="1" customWidth="1"/>
    <col min="4" max="5" width="36.5703125" bestFit="1" customWidth="1"/>
  </cols>
  <sheetData>
    <row r="1" spans="1:6">
      <c r="A1" t="s">
        <v>3</v>
      </c>
      <c r="B1" t="s">
        <v>4</v>
      </c>
      <c r="D1" s="3" t="s">
        <v>5</v>
      </c>
      <c r="E1" s="3" t="s">
        <v>6</v>
      </c>
      <c r="F1" s="3" t="s">
        <v>7</v>
      </c>
    </row>
    <row r="2" spans="1:6">
      <c r="A2" t="s">
        <v>8</v>
      </c>
      <c r="B2" s="2" cm="1">
        <f t="array" aca="1" ref="B2" ca="1">INDIRECT(A2 &amp; "!E2")</f>
        <v>23</v>
      </c>
      <c r="D2" s="4">
        <v>1</v>
      </c>
      <c r="E2" s="5" t="str" cm="1">
        <f t="array" aca="1" ref="E2:F11" ca="1">_xlfn.TAKE(_xlfn._xlws.SORT(_xlfn._xlws.FILTER(A2:B50, A2:A50&lt;&gt;""), 2, -1), 10)</f>
        <v>Jose</v>
      </c>
      <c r="F2" s="6">
        <f ca="1"/>
        <v>48</v>
      </c>
    </row>
    <row r="3" spans="1:6">
      <c r="A3" t="s">
        <v>9</v>
      </c>
      <c r="B3" s="2" cm="1">
        <f t="array" aca="1" ref="B3" ca="1">INDIRECT(A3 &amp; "!E2")</f>
        <v>16</v>
      </c>
      <c r="D3" s="7">
        <v>2</v>
      </c>
      <c r="E3" s="6" t="str">
        <f ca="1"/>
        <v>Inti</v>
      </c>
      <c r="F3" s="6">
        <f ca="1"/>
        <v>42</v>
      </c>
    </row>
    <row r="4" spans="1:6">
      <c r="A4" t="s">
        <v>10</v>
      </c>
      <c r="B4" s="2" cm="1">
        <f t="array" aca="1" ref="B4" ca="1">INDIRECT(A4 &amp; "!E2")</f>
        <v>42</v>
      </c>
      <c r="D4" s="7">
        <v>3</v>
      </c>
      <c r="E4" s="6" t="str">
        <f ca="1"/>
        <v>Juan</v>
      </c>
      <c r="F4" s="6">
        <f ca="1"/>
        <v>23</v>
      </c>
    </row>
    <row r="5" spans="1:6">
      <c r="A5" t="s">
        <v>11</v>
      </c>
      <c r="B5" s="2" cm="1">
        <f t="array" aca="1" ref="B5" ca="1">INDIRECT(A5 &amp; "!E2")</f>
        <v>0</v>
      </c>
      <c r="D5" s="7">
        <v>4</v>
      </c>
      <c r="E5" s="6" t="str">
        <f ca="1"/>
        <v>Elizabeth</v>
      </c>
      <c r="F5" s="6">
        <f ca="1"/>
        <v>23</v>
      </c>
    </row>
    <row r="6" spans="1:6">
      <c r="A6" t="s">
        <v>12</v>
      </c>
      <c r="B6" s="2" cm="1">
        <f t="array" aca="1" ref="B6" ca="1">INDIRECT(A6 &amp; "!E2")</f>
        <v>23</v>
      </c>
      <c r="D6" s="7">
        <v>5</v>
      </c>
      <c r="E6" s="6" t="str">
        <f ca="1"/>
        <v>Pablo</v>
      </c>
      <c r="F6" s="6">
        <f ca="1"/>
        <v>23</v>
      </c>
    </row>
    <row r="7" spans="1:6">
      <c r="A7" t="s">
        <v>13</v>
      </c>
      <c r="B7" s="2" cm="1">
        <f t="array" aca="1" ref="B7" ca="1">INDIRECT(A7 &amp; "!E2")</f>
        <v>48</v>
      </c>
      <c r="D7" s="7">
        <v>6</v>
      </c>
      <c r="E7" s="6" t="str">
        <f ca="1"/>
        <v>joaquin</v>
      </c>
      <c r="F7" s="6">
        <f ca="1"/>
        <v>23</v>
      </c>
    </row>
    <row r="8" spans="1:6">
      <c r="A8" t="s">
        <v>14</v>
      </c>
      <c r="B8" s="2" cm="1">
        <f t="array" aca="1" ref="B8" ca="1">INDIRECT(A8 &amp; "!E2")</f>
        <v>23</v>
      </c>
      <c r="D8" s="7">
        <v>7</v>
      </c>
      <c r="E8" s="6" t="str">
        <f ca="1"/>
        <v>Vale</v>
      </c>
      <c r="F8" s="6">
        <f ca="1"/>
        <v>23</v>
      </c>
    </row>
    <row r="9" spans="1:6">
      <c r="A9" t="s">
        <v>15</v>
      </c>
      <c r="B9" s="2" cm="1">
        <f t="array" aca="1" ref="B9" ca="1">INDIRECT(A9 &amp; "!E2")</f>
        <v>23</v>
      </c>
      <c r="D9" s="7">
        <v>8</v>
      </c>
      <c r="E9" s="6" t="str">
        <f ca="1"/>
        <v>Mariano</v>
      </c>
      <c r="F9" s="6">
        <f ca="1"/>
        <v>23</v>
      </c>
    </row>
    <row r="10" spans="1:6">
      <c r="A10" t="s">
        <v>16</v>
      </c>
      <c r="B10" s="2" cm="1">
        <f t="array" aca="1" ref="B10" ca="1">INDIRECT(A10 &amp; "!E2")</f>
        <v>23</v>
      </c>
      <c r="D10" s="7">
        <v>9</v>
      </c>
      <c r="E10" s="6" t="str">
        <f ca="1"/>
        <v>Jorge</v>
      </c>
      <c r="F10" s="6">
        <f ca="1"/>
        <v>23</v>
      </c>
    </row>
    <row r="11" spans="1:6">
      <c r="A11" t="s">
        <v>17</v>
      </c>
      <c r="B11" s="2" cm="1">
        <f t="array" aca="1" ref="B11" ca="1">INDIRECT(A11 &amp; "!E2")</f>
        <v>23</v>
      </c>
      <c r="D11" s="7">
        <v>10</v>
      </c>
      <c r="E11" s="6" t="str">
        <f ca="1"/>
        <v>Pedro</v>
      </c>
      <c r="F11" s="6">
        <f ca="1"/>
        <v>16</v>
      </c>
    </row>
    <row r="12" spans="1:6">
      <c r="A12" t="s">
        <v>18</v>
      </c>
      <c r="B12" s="2" cm="1">
        <f t="array" aca="1" ref="B12" ca="1">INDIRECT(A12 &amp; "!E2")</f>
        <v>23</v>
      </c>
    </row>
    <row r="13" spans="1:6">
      <c r="B13" s="2"/>
    </row>
    <row r="14" spans="1:6">
      <c r="B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F405-5333-4DC8-BDA5-204BA3DED65D}">
  <dimension ref="A1:E27"/>
  <sheetViews>
    <sheetView workbookViewId="0">
      <selection activeCell="G20" sqref="G20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2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2</v>
      </c>
      <c r="E2">
        <f>_xlfn.AGGREGATE(9, 6, D2:D100)</f>
        <v>48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1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0</v>
      </c>
    </row>
    <row r="5" spans="1:5">
      <c r="A5">
        <v>4</v>
      </c>
      <c r="B5">
        <v>3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2</v>
      </c>
    </row>
    <row r="6" spans="1:5">
      <c r="A6">
        <v>5</v>
      </c>
      <c r="B6">
        <v>5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7</v>
      </c>
    </row>
    <row r="7" spans="1:5">
      <c r="A7">
        <v>6</v>
      </c>
      <c r="B7">
        <v>7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2</v>
      </c>
    </row>
    <row r="8" spans="1:5">
      <c r="A8">
        <v>7</v>
      </c>
      <c r="B8">
        <v>1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5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1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2</v>
      </c>
    </row>
    <row r="12" spans="1:5">
      <c r="A12">
        <v>11</v>
      </c>
      <c r="B12">
        <v>0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0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0</v>
      </c>
      <c r="C14">
        <v>0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1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7</v>
      </c>
    </row>
    <row r="18" spans="1:4">
      <c r="A18">
        <v>17</v>
      </c>
      <c r="B18">
        <v>0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7</v>
      </c>
    </row>
    <row r="19" spans="1:4">
      <c r="A19">
        <v>18</v>
      </c>
      <c r="B19">
        <v>2</v>
      </c>
      <c r="C19">
        <v>0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1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7</v>
      </c>
    </row>
    <row r="21" spans="1:4">
      <c r="A21">
        <v>20</v>
      </c>
      <c r="B21">
        <v>2</v>
      </c>
      <c r="C21">
        <v>3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0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0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0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1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8297-EB13-4AF8-8D3F-F0BC440D31C2}">
  <dimension ref="A1:E27"/>
  <sheetViews>
    <sheetView tabSelected="1" workbookViewId="0">
      <selection activeCell="F7" sqref="F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42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4</v>
      </c>
      <c r="C6">
        <v>1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5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1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7</v>
      </c>
    </row>
    <row r="18" spans="1:4">
      <c r="A18">
        <v>17</v>
      </c>
      <c r="B18">
        <v>0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7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D477-C587-48FE-95E0-E5A03CE474CA}">
  <dimension ref="A1:E27"/>
  <sheetViews>
    <sheetView workbookViewId="0">
      <selection sqref="A1:E2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2DA-02E0-490D-BC8F-8DEA1C5B0D6E}">
  <dimension ref="A1:E27"/>
  <sheetViews>
    <sheetView workbookViewId="0">
      <selection sqref="A1:E2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3A57-11C7-48A6-93EB-629B00DFAFD4}">
  <dimension ref="A1:E27"/>
  <sheetViews>
    <sheetView workbookViewId="0">
      <selection sqref="A1:E2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401A-1DE8-4796-A367-6889964BD531}">
  <dimension ref="A1:E27"/>
  <sheetViews>
    <sheetView workbookViewId="0">
      <selection sqref="A1:E2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B180-346F-456C-9CA0-59CFCE810676}">
  <dimension ref="A1:E27"/>
  <sheetViews>
    <sheetView workbookViewId="0">
      <selection sqref="A1:E2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3FD3-C7BF-4E37-87D9-065FBCEDF1C4}">
  <dimension ref="A1:E27"/>
  <sheetViews>
    <sheetView workbookViewId="0">
      <selection sqref="A1:E27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AB1B-F85F-498A-93A2-F686A2AB1FBB}">
  <dimension ref="A1:E27"/>
  <sheetViews>
    <sheetView workbookViewId="0">
      <selection activeCell="E1" sqref="A1:E27"/>
    </sheetView>
  </sheetViews>
  <sheetFormatPr defaultRowHeight="15"/>
  <cols>
    <col min="2" max="2" width="10.7109375" bestFit="1" customWidth="1"/>
    <col min="3" max="3" width="10.28515625" bestFit="1" customWidth="1"/>
    <col min="4" max="4" width="36.5703125" bestFit="1" customWidth="1"/>
    <col min="5" max="5" width="13.42578125" bestFit="1" customWidth="1"/>
  </cols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3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7</v>
      </c>
      <c r="E2">
        <f>_xlfn.AGGREGATE(9, 6, D2:D100)</f>
        <v>23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1FFE-9057-42DB-B137-9AADCDDF9728}">
  <dimension ref="A1:E27"/>
  <sheetViews>
    <sheetView workbookViewId="0">
      <selection activeCell="B20" sqref="B20"/>
    </sheetView>
  </sheetViews>
  <sheetFormatPr defaultRowHeight="15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0</v>
      </c>
      <c r="D2" s="1">
        <f>IFERROR(IF(OR(VLOOKUP(A2, Partidos!$A:$C, 2, 0)="", VLOOKUP(A2, Partidos!$A:$C, 3, 0)=""), 0, IF(SIGN(VLOOKUP(A2, Partidos!$A:$C, 2, 0) - VLOOKUP(A2, Partidos!$A:$C, 3, 0)) = SIGN(B2 - C2), 2 + IF((VLOOKUP(A2, Partidos!$A:$C, 2, 0) - VLOOKUP(A2, Partidos!$A:$C, 3, 0)) = (B2 - C2), 3 + IF(AND(VLOOKUP(A2, Partidos!$A:$C, 2, 0) = B2, VLOOKUP(A2, Partidos!$A:$C, 3, 0) = C2), 2, 0), 0), 0)), 0)</f>
        <v>0</v>
      </c>
      <c r="E2">
        <f>_xlfn.AGGREGATE(9, 6, D2:D100)</f>
        <v>16</v>
      </c>
    </row>
    <row r="3" spans="1:5">
      <c r="A3">
        <v>2</v>
      </c>
      <c r="B3">
        <v>3</v>
      </c>
      <c r="C3">
        <v>1</v>
      </c>
      <c r="D3" s="1">
        <f>IFERROR(IF(OR(VLOOKUP(A3, Partidos!$A:$C, 2, 0)="", VLOOKUP(A3, Partidos!$A:$C, 3, 0)=""), 0, IF(SIGN(VLOOKUP(A3, Partidos!$A:$C, 2, 0) - VLOOKUP(A3, Partidos!$A:$C, 3, 0)) = SIGN(B3 - C3), 2 + IF((VLOOKUP(A3, Partidos!$A:$C, 2, 0) - VLOOKUP(A3, Partidos!$A:$C, 3, 0)) = (B3 - C3), 3 + IF(AND(VLOOKUP(A3, Partidos!$A:$C, 2, 0) = B3, VLOOKUP(A3, Partidos!$A:$C, 3, 0) = C3), 2, 0), 0), 0)), 0)</f>
        <v>0</v>
      </c>
    </row>
    <row r="4" spans="1:5">
      <c r="A4">
        <v>3</v>
      </c>
      <c r="B4">
        <v>2</v>
      </c>
      <c r="C4">
        <v>2</v>
      </c>
      <c r="D4" s="1">
        <f>IFERROR(IF(OR(VLOOKUP(A4, Partidos!$A:$C, 2, 0)="", VLOOKUP(A4, Partidos!$A:$C, 3, 0)=""), 0, IF(SIGN(VLOOKUP(A4, Partidos!$A:$C, 2, 0) - VLOOKUP(A4, Partidos!$A:$C, 3, 0)) = SIGN(B4 - C4), 2 + IF((VLOOKUP(A4, Partidos!$A:$C, 2, 0) - VLOOKUP(A4, Partidos!$A:$C, 3, 0)) = (B4 - C4), 3 + IF(AND(VLOOKUP(A4, Partidos!$A:$C, 2, 0) = B4, VLOOKUP(A4, Partidos!$A:$C, 3, 0) = C4), 2, 0), 0), 0)), 0)</f>
        <v>7</v>
      </c>
    </row>
    <row r="5" spans="1:5">
      <c r="A5">
        <v>4</v>
      </c>
      <c r="B5">
        <v>2</v>
      </c>
      <c r="C5">
        <v>2</v>
      </c>
      <c r="D5" s="1">
        <f>IFERROR(IF(OR(VLOOKUP(A5, Partidos!$A:$C, 2, 0)="", VLOOKUP(A5, Partidos!$A:$C, 3, 0)=""), 0, IF(SIGN(VLOOKUP(A5, Partidos!$A:$C, 2, 0) - VLOOKUP(A5, Partidos!$A:$C, 3, 0)) = SIGN(B5 - C5), 2 + IF((VLOOKUP(A5, Partidos!$A:$C, 2, 0) - VLOOKUP(A5, Partidos!$A:$C, 3, 0)) = (B5 - C5), 3 + IF(AND(VLOOKUP(A5, Partidos!$A:$C, 2, 0) = B5, VLOOKUP(A5, Partidos!$A:$C, 3, 0) = C5), 2, 0), 0), 0)), 0)</f>
        <v>0</v>
      </c>
    </row>
    <row r="6" spans="1:5">
      <c r="A6">
        <v>5</v>
      </c>
      <c r="B6">
        <v>2</v>
      </c>
      <c r="C6">
        <v>2</v>
      </c>
      <c r="D6" s="1">
        <f>IFERROR(IF(OR(VLOOKUP(A6, Partidos!$A:$C, 2, 0)="", VLOOKUP(A6, Partidos!$A:$C, 3, 0)=""), 0, IF(SIGN(VLOOKUP(A6, Partidos!$A:$C, 2, 0) - VLOOKUP(A6, Partidos!$A:$C, 3, 0)) = SIGN(B6 - C6), 2 + IF((VLOOKUP(A6, Partidos!$A:$C, 2, 0) - VLOOKUP(A6, Partidos!$A:$C, 3, 0)) = (B6 - C6), 3 + IF(AND(VLOOKUP(A6, Partidos!$A:$C, 2, 0) = B6, VLOOKUP(A6, Partidos!$A:$C, 3, 0) = C6), 2, 0), 0), 0)), 0)</f>
        <v>0</v>
      </c>
    </row>
    <row r="7" spans="1:5">
      <c r="A7">
        <v>6</v>
      </c>
      <c r="B7">
        <v>2</v>
      </c>
      <c r="C7">
        <v>2</v>
      </c>
      <c r="D7" s="1">
        <f>IFERROR(IF(OR(VLOOKUP(A7, Partidos!$A:$C, 2, 0)="", VLOOKUP(A7, Partidos!$A:$C, 3, 0)=""), 0, IF(SIGN(VLOOKUP(A7, Partidos!$A:$C, 2, 0) - VLOOKUP(A7, Partidos!$A:$C, 3, 0)) = SIGN(B7 - C7), 2 + IF((VLOOKUP(A7, Partidos!$A:$C, 2, 0) - VLOOKUP(A7, Partidos!$A:$C, 3, 0)) = (B7 - C7), 3 + IF(AND(VLOOKUP(A7, Partidos!$A:$C, 2, 0) = B7, VLOOKUP(A7, Partidos!$A:$C, 3, 0) = C7), 2, 0), 0), 0)), 0)</f>
        <v>0</v>
      </c>
    </row>
    <row r="8" spans="1:5">
      <c r="A8">
        <v>7</v>
      </c>
      <c r="B8">
        <v>2</v>
      </c>
      <c r="C8">
        <v>2</v>
      </c>
      <c r="D8" s="1">
        <f>IFERROR(IF(OR(VLOOKUP(A8, Partidos!$A:$C, 2, 0)="", VLOOKUP(A8, Partidos!$A:$C, 3, 0)=""), 0, IF(SIGN(VLOOKUP(A8, Partidos!$A:$C, 2, 0) - VLOOKUP(A8, Partidos!$A:$C, 3, 0)) = SIGN(B8 - C8), 2 + IF((VLOOKUP(A8, Partidos!$A:$C, 2, 0) - VLOOKUP(A8, Partidos!$A:$C, 3, 0)) = (B8 - C8), 3 + IF(AND(VLOOKUP(A8, Partidos!$A:$C, 2, 0) = B8, VLOOKUP(A8, Partidos!$A:$C, 3, 0) = C8), 2, 0), 0), 0)), 0)</f>
        <v>0</v>
      </c>
    </row>
    <row r="9" spans="1:5">
      <c r="A9">
        <v>8</v>
      </c>
      <c r="B9">
        <v>2</v>
      </c>
      <c r="C9">
        <v>2</v>
      </c>
      <c r="D9" s="1">
        <f>IFERROR(IF(OR(VLOOKUP(A9, Partidos!$A:$C, 2, 0)="", VLOOKUP(A9, Partidos!$A:$C, 3, 0)=""), 0, IF(SIGN(VLOOKUP(A9, Partidos!$A:$C, 2, 0) - VLOOKUP(A9, Partidos!$A:$C, 3, 0)) = SIGN(B9 - C9), 2 + IF((VLOOKUP(A9, Partidos!$A:$C, 2, 0) - VLOOKUP(A9, Partidos!$A:$C, 3, 0)) = (B9 - C9), 3 + IF(AND(VLOOKUP(A9, Partidos!$A:$C, 2, 0) = B9, VLOOKUP(A9, Partidos!$A:$C, 3, 0) = C9), 2, 0), 0), 0)), 0)</f>
        <v>0</v>
      </c>
    </row>
    <row r="10" spans="1:5">
      <c r="A10">
        <v>9</v>
      </c>
      <c r="B10">
        <v>2</v>
      </c>
      <c r="C10">
        <v>2</v>
      </c>
      <c r="D10" s="1">
        <f>IFERROR(IF(OR(VLOOKUP(A10, Partidos!$A:$C, 2, 0)="", VLOOKUP(A10, Partidos!$A:$C, 3, 0)=""), 0, IF(SIGN(VLOOKUP(A10, Partidos!$A:$C, 2, 0) - VLOOKUP(A10, Partidos!$A:$C, 3, 0)) = SIGN(B10 - C10), 2 + IF((VLOOKUP(A10, Partidos!$A:$C, 2, 0) - VLOOKUP(A10, Partidos!$A:$C, 3, 0)) = (B10 - C10), 3 + IF(AND(VLOOKUP(A10, Partidos!$A:$C, 2, 0) = B10, VLOOKUP(A10, Partidos!$A:$C, 3, 0) = C10), 2, 0), 0), 0)), 0)</f>
        <v>0</v>
      </c>
    </row>
    <row r="11" spans="1:5">
      <c r="A11">
        <v>10</v>
      </c>
      <c r="B11">
        <v>2</v>
      </c>
      <c r="C11">
        <v>2</v>
      </c>
      <c r="D11" s="1">
        <f>IFERROR(IF(OR(VLOOKUP(A11, Partidos!$A:$C, 2, 0)="", VLOOKUP(A11, Partidos!$A:$C, 3, 0)=""), 0, IF(SIGN(VLOOKUP(A11, Partidos!$A:$C, 2, 0) - VLOOKUP(A11, Partidos!$A:$C, 3, 0)) = SIGN(B11 - C11), 2 + IF((VLOOKUP(A11, Partidos!$A:$C, 2, 0) - VLOOKUP(A11, Partidos!$A:$C, 3, 0)) = (B11 - C11), 3 + IF(AND(VLOOKUP(A11, Partidos!$A:$C, 2, 0) = B11, VLOOKUP(A11, Partidos!$A:$C, 3, 0) = C11), 2, 0), 0), 0)), 0)</f>
        <v>0</v>
      </c>
    </row>
    <row r="12" spans="1:5">
      <c r="A12">
        <v>11</v>
      </c>
      <c r="B12">
        <v>2</v>
      </c>
      <c r="C12">
        <v>2</v>
      </c>
      <c r="D12" s="1">
        <f>IFERROR(IF(OR(VLOOKUP(A12, Partidos!$A:$C, 2, 0)="", VLOOKUP(A12, Partidos!$A:$C, 3, 0)=""), 0, IF(SIGN(VLOOKUP(A12, Partidos!$A:$C, 2, 0) - VLOOKUP(A12, Partidos!$A:$C, 3, 0)) = SIGN(B12 - C12), 2 + IF((VLOOKUP(A12, Partidos!$A:$C, 2, 0) - VLOOKUP(A12, Partidos!$A:$C, 3, 0)) = (B12 - C12), 3 + IF(AND(VLOOKUP(A12, Partidos!$A:$C, 2, 0) = B12, VLOOKUP(A12, Partidos!$A:$C, 3, 0) = C12), 2, 0), 0), 0)), 0)</f>
        <v>0</v>
      </c>
    </row>
    <row r="13" spans="1:5">
      <c r="A13">
        <v>12</v>
      </c>
      <c r="B13">
        <v>2</v>
      </c>
      <c r="C13">
        <v>2</v>
      </c>
      <c r="D13" s="1">
        <f>IFERROR(IF(OR(VLOOKUP(A13, Partidos!$A:$C, 2, 0)="", VLOOKUP(A13, Partidos!$A:$C, 3, 0)=""), 0, IF(SIGN(VLOOKUP(A13, Partidos!$A:$C, 2, 0) - VLOOKUP(A13, Partidos!$A:$C, 3, 0)) = SIGN(B13 - C13), 2 + IF((VLOOKUP(A13, Partidos!$A:$C, 2, 0) - VLOOKUP(A13, Partidos!$A:$C, 3, 0)) = (B13 - C13), 3 + IF(AND(VLOOKUP(A13, Partidos!$A:$C, 2, 0) = B13, VLOOKUP(A13, Partidos!$A:$C, 3, 0) = C13), 2, 0), 0), 0)), 0)</f>
        <v>0</v>
      </c>
    </row>
    <row r="14" spans="1:5">
      <c r="A14">
        <v>13</v>
      </c>
      <c r="B14">
        <v>2</v>
      </c>
      <c r="C14">
        <v>2</v>
      </c>
      <c r="D14" s="1">
        <f>IFERROR(IF(OR(VLOOKUP(A14, Partidos!$A:$C, 2, 0)="", VLOOKUP(A14, Partidos!$A:$C, 3, 0)=""), 0, IF(SIGN(VLOOKUP(A14, Partidos!$A:$C, 2, 0) - VLOOKUP(A14, Partidos!$A:$C, 3, 0)) = SIGN(B14 - C14), 2 + IF((VLOOKUP(A14, Partidos!$A:$C, 2, 0) - VLOOKUP(A14, Partidos!$A:$C, 3, 0)) = (B14 - C14), 3 + IF(AND(VLOOKUP(A14, Partidos!$A:$C, 2, 0) = B14, VLOOKUP(A14, Partidos!$A:$C, 3, 0) = C14), 2, 0), 0), 0)), 0)</f>
        <v>0</v>
      </c>
    </row>
    <row r="15" spans="1:5">
      <c r="A15">
        <v>14</v>
      </c>
      <c r="B15">
        <v>2</v>
      </c>
      <c r="C15">
        <v>2</v>
      </c>
      <c r="D15" s="1">
        <f>IFERROR(IF(OR(VLOOKUP(A15, Partidos!$A:$C, 2, 0)="", VLOOKUP(A15, Partidos!$A:$C, 3, 0)=""), 0, IF(SIGN(VLOOKUP(A15, Partidos!$A:$C, 2, 0) - VLOOKUP(A15, Partidos!$A:$C, 3, 0)) = SIGN(B15 - C15), 2 + IF((VLOOKUP(A15, Partidos!$A:$C, 2, 0) - VLOOKUP(A15, Partidos!$A:$C, 3, 0)) = (B15 - C15), 3 + IF(AND(VLOOKUP(A15, Partidos!$A:$C, 2, 0) = B15, VLOOKUP(A15, Partidos!$A:$C, 3, 0) = C15), 2, 0), 0), 0)), 0)</f>
        <v>0</v>
      </c>
    </row>
    <row r="16" spans="1:5">
      <c r="A16">
        <v>15</v>
      </c>
      <c r="B16">
        <v>2</v>
      </c>
      <c r="C16">
        <v>2</v>
      </c>
      <c r="D16" s="1">
        <f>IFERROR(IF(OR(VLOOKUP(A16, Partidos!$A:$C, 2, 0)="", VLOOKUP(A16, Partidos!$A:$C, 3, 0)=""), 0, IF(SIGN(VLOOKUP(A16, Partidos!$A:$C, 2, 0) - VLOOKUP(A16, Partidos!$A:$C, 3, 0)) = SIGN(B16 - C16), 2 + IF((VLOOKUP(A16, Partidos!$A:$C, 2, 0) - VLOOKUP(A16, Partidos!$A:$C, 3, 0)) = (B16 - C16), 3 + IF(AND(VLOOKUP(A16, Partidos!$A:$C, 2, 0) = B16, VLOOKUP(A16, Partidos!$A:$C, 3, 0) = C16), 2, 0), 0), 0)), 0)</f>
        <v>7</v>
      </c>
    </row>
    <row r="17" spans="1:4">
      <c r="A17">
        <v>16</v>
      </c>
      <c r="B17">
        <v>2</v>
      </c>
      <c r="C17">
        <v>1</v>
      </c>
      <c r="D17" s="1">
        <f>IFERROR(IF(OR(VLOOKUP(A17, Partidos!$A:$C, 2, 0)="", VLOOKUP(A17, Partidos!$A:$C, 3, 0)=""), 0, IF(SIGN(VLOOKUP(A17, Partidos!$A:$C, 2, 0) - VLOOKUP(A17, Partidos!$A:$C, 3, 0)) = SIGN(B17 - C17), 2 + IF((VLOOKUP(A17, Partidos!$A:$C, 2, 0) - VLOOKUP(A17, Partidos!$A:$C, 3, 0)) = (B17 - C17), 3 + IF(AND(VLOOKUP(A17, Partidos!$A:$C, 2, 0) = B17, VLOOKUP(A17, Partidos!$A:$C, 3, 0) = C17), 2, 0), 0), 0)), 0)</f>
        <v>0</v>
      </c>
    </row>
    <row r="18" spans="1:4">
      <c r="A18">
        <v>17</v>
      </c>
      <c r="B18">
        <v>2</v>
      </c>
      <c r="C18">
        <v>1</v>
      </c>
      <c r="D18" s="1">
        <f>IFERROR(IF(OR(VLOOKUP(A18, Partidos!$A:$C, 2, 0)="", VLOOKUP(A18, Partidos!$A:$C, 3, 0)=""), 0, IF(SIGN(VLOOKUP(A18, Partidos!$A:$C, 2, 0) - VLOOKUP(A18, Partidos!$A:$C, 3, 0)) = SIGN(B18 - C18), 2 + IF((VLOOKUP(A18, Partidos!$A:$C, 2, 0) - VLOOKUP(A18, Partidos!$A:$C, 3, 0)) = (B18 - C18), 3 + IF(AND(VLOOKUP(A18, Partidos!$A:$C, 2, 0) = B18, VLOOKUP(A18, Partidos!$A:$C, 3, 0) = C18), 2, 0), 0), 0)), 0)</f>
        <v>0</v>
      </c>
    </row>
    <row r="19" spans="1:4">
      <c r="A19">
        <v>18</v>
      </c>
      <c r="B19">
        <v>2</v>
      </c>
      <c r="C19">
        <v>11</v>
      </c>
      <c r="D19" s="1">
        <f>IFERROR(IF(OR(VLOOKUP(A19, Partidos!$A:$C, 2, 0)="", VLOOKUP(A19, Partidos!$A:$C, 3, 0)=""), 0, IF(SIGN(VLOOKUP(A19, Partidos!$A:$C, 2, 0) - VLOOKUP(A19, Partidos!$A:$C, 3, 0)) = SIGN(B19 - C19), 2 + IF((VLOOKUP(A19, Partidos!$A:$C, 2, 0) - VLOOKUP(A19, Partidos!$A:$C, 3, 0)) = (B19 - C19), 3 + IF(AND(VLOOKUP(A19, Partidos!$A:$C, 2, 0) = B19, VLOOKUP(A19, Partidos!$A:$C, 3, 0) = C19), 2, 0), 0), 0)), 0)</f>
        <v>0</v>
      </c>
    </row>
    <row r="20" spans="1:4">
      <c r="A20">
        <v>19</v>
      </c>
      <c r="B20">
        <v>2</v>
      </c>
      <c r="C20">
        <v>0</v>
      </c>
      <c r="D20" s="1">
        <f>IFERROR(IF(OR(VLOOKUP(A20, Partidos!$A:$C, 2, 0)="", VLOOKUP(A20, Partidos!$A:$C, 3, 0)=""), 0, IF(SIGN(VLOOKUP(A20, Partidos!$A:$C, 2, 0) - VLOOKUP(A20, Partidos!$A:$C, 3, 0)) = SIGN(B20 - C20), 2 + IF((VLOOKUP(A20, Partidos!$A:$C, 2, 0) - VLOOKUP(A20, Partidos!$A:$C, 3, 0)) = (B20 - C20), 3 + IF(AND(VLOOKUP(A20, Partidos!$A:$C, 2, 0) = B20, VLOOKUP(A20, Partidos!$A:$C, 3, 0) = C20), 2, 0), 0), 0)), 0)</f>
        <v>2</v>
      </c>
    </row>
    <row r="21" spans="1:4">
      <c r="A21">
        <v>20</v>
      </c>
      <c r="B21">
        <v>2</v>
      </c>
      <c r="C21">
        <v>1</v>
      </c>
      <c r="D21" s="1">
        <f>IFERROR(IF(OR(VLOOKUP(A21, Partidos!$A:$C, 2, 0)="", VLOOKUP(A21, Partidos!$A:$C, 3, 0)=""), 0, IF(SIGN(VLOOKUP(A21, Partidos!$A:$C, 2, 0) - VLOOKUP(A21, Partidos!$A:$C, 3, 0)) = SIGN(B21 - C21), 2 + IF((VLOOKUP(A21, Partidos!$A:$C, 2, 0) - VLOOKUP(A21, Partidos!$A:$C, 3, 0)) = (B21 - C21), 3 + IF(AND(VLOOKUP(A21, Partidos!$A:$C, 2, 0) = B21, VLOOKUP(A21, Partidos!$A:$C, 3, 0) = C21), 2, 0), 0), 0)), 0)</f>
        <v>0</v>
      </c>
    </row>
    <row r="22" spans="1:4">
      <c r="A22">
        <v>21</v>
      </c>
      <c r="B22">
        <v>2</v>
      </c>
      <c r="C22">
        <v>1</v>
      </c>
      <c r="D22" s="1">
        <f>IFERROR(IF(OR(VLOOKUP(A22, Partidos!$A:$C, 2, 0)="", VLOOKUP(A22, Partidos!$A:$C, 3, 0)=""), 0, IF(SIGN(VLOOKUP(A22, Partidos!$A:$C, 2, 0) - VLOOKUP(A22, Partidos!$A:$C, 3, 0)) = SIGN(B22 - C22), 2 + IF((VLOOKUP(A22, Partidos!$A:$C, 2, 0) - VLOOKUP(A22, Partidos!$A:$C, 3, 0)) = (B22 - C22), 3 + IF(AND(VLOOKUP(A22, Partidos!$A:$C, 2, 0) = B22, VLOOKUP(A22, Partidos!$A:$C, 3, 0) = C22), 2, 0), 0), 0)), 0)</f>
        <v>0</v>
      </c>
    </row>
    <row r="23" spans="1:4">
      <c r="A23">
        <v>22</v>
      </c>
      <c r="B23">
        <v>2</v>
      </c>
      <c r="C23">
        <v>1</v>
      </c>
      <c r="D23" s="1">
        <f>IFERROR(IF(OR(VLOOKUP(A23, Partidos!$A:$C, 2, 0)="", VLOOKUP(A23, Partidos!$A:$C, 3, 0)=""), 0, IF(SIGN(VLOOKUP(A23, Partidos!$A:$C, 2, 0) - VLOOKUP(A23, Partidos!$A:$C, 3, 0)) = SIGN(B23 - C23), 2 + IF((VLOOKUP(A23, Partidos!$A:$C, 2, 0) - VLOOKUP(A23, Partidos!$A:$C, 3, 0)) = (B23 - C23), 3 + IF(AND(VLOOKUP(A23, Partidos!$A:$C, 2, 0) = B23, VLOOKUP(A23, Partidos!$A:$C, 3, 0) = C23), 2, 0), 0), 0)), 0)</f>
        <v>0</v>
      </c>
    </row>
    <row r="24" spans="1:4">
      <c r="A24">
        <v>23</v>
      </c>
      <c r="B24">
        <v>2</v>
      </c>
      <c r="C24">
        <v>1</v>
      </c>
      <c r="D24" s="1">
        <f>IFERROR(IF(OR(VLOOKUP(A24, Partidos!$A:$C, 2, 0)="", VLOOKUP(A24, Partidos!$A:$C, 3, 0)=""), 0, IF(SIGN(VLOOKUP(A24, Partidos!$A:$C, 2, 0) - VLOOKUP(A24, Partidos!$A:$C, 3, 0)) = SIGN(B24 - C24), 2 + IF((VLOOKUP(A24, Partidos!$A:$C, 2, 0) - VLOOKUP(A24, Partidos!$A:$C, 3, 0)) = (B24 - C24), 3 + IF(AND(VLOOKUP(A24, Partidos!$A:$C, 2, 0) = B24, VLOOKUP(A24, Partidos!$A:$C, 3, 0) = C24), 2, 0), 0), 0)), 0)</f>
        <v>0</v>
      </c>
    </row>
    <row r="25" spans="1:4">
      <c r="A25">
        <v>24</v>
      </c>
      <c r="B25">
        <v>2</v>
      </c>
      <c r="C25">
        <v>2</v>
      </c>
      <c r="D25" s="1">
        <f>IFERROR(IF(OR(VLOOKUP(A25, Partidos!$A:$C, 2, 0)="", VLOOKUP(A25, Partidos!$A:$C, 3, 0)=""), 0, IF(SIGN(VLOOKUP(A25, Partidos!$A:$C, 2, 0) - VLOOKUP(A25, Partidos!$A:$C, 3, 0)) = SIGN(B25 - C25), 2 + IF((VLOOKUP(A25, Partidos!$A:$C, 2, 0) - VLOOKUP(A25, Partidos!$A:$C, 3, 0)) = (B25 - C25), 3 + IF(AND(VLOOKUP(A25, Partidos!$A:$C, 2, 0) = B25, VLOOKUP(A25, Partidos!$A:$C, 3, 0) = C25), 2, 0), 0), 0)), 0)</f>
        <v>0</v>
      </c>
    </row>
    <row r="26" spans="1:4">
      <c r="A26">
        <v>25</v>
      </c>
      <c r="B26">
        <v>2</v>
      </c>
      <c r="C26">
        <v>3</v>
      </c>
      <c r="D26" s="1">
        <f>IFERROR(IF(OR(VLOOKUP(A26, Partidos!$A:$C, 2, 0)="", VLOOKUP(A26, Partidos!$A:$C, 3, 0)=""), 0, IF(SIGN(VLOOKUP(A26, Partidos!$A:$C, 2, 0) - VLOOKUP(A26, Partidos!$A:$C, 3, 0)) = SIGN(B26 - C26), 2 + IF((VLOOKUP(A26, Partidos!$A:$C, 2, 0) - VLOOKUP(A26, Partidos!$A:$C, 3, 0)) = (B26 - C26), 3 + IF(AND(VLOOKUP(A26, Partidos!$A:$C, 2, 0) = B26, VLOOKUP(A26, Partidos!$A:$C, 3, 0) = C26), 2, 0), 0), 0)), 0)</f>
        <v>0</v>
      </c>
    </row>
    <row r="27" spans="1:4">
      <c r="D27" s="1">
        <f>IFERROR(IF(OR(VLOOKUP(A27, Partidos!$A:$C, 2, 0)="", VLOOKUP(A27, Partidos!$A:$C, 3, 0)=""), 0, IF(SIGN(VLOOKUP(A27, Partidos!$A:$C, 2, 0) - VLOOKUP(A27, Partidos!$A:$C, 3, 0)) = SIGN(B27 - C27), 2 + IF((VLOOKUP(A27, Partidos!$A:$C, 2, 0) - VLOOKUP(A27, Partidos!$A:$C, 3, 0)) = (B27 - C27), 3 + IF(AND(VLOOKUP(A27, Partidos!$A:$C, 2, 0) = B27, VLOOKUP(A27, Partidos!$A:$C, 3, 0) = C27), 2, 0), 0), 0)), 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B86-42EB-46EB-A284-51913CDD56D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2026-06-11T15:36:10Z</dcterms:created>
  <dcterms:modified xsi:type="dcterms:W3CDTF">2026-06-20T13:38:45Z</dcterms:modified>
  <cp:category/>
  <cp:contentStatus/>
</cp:coreProperties>
</file>